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"/>
    </mc:Choice>
  </mc:AlternateContent>
  <xr:revisionPtr revIDLastSave="0" documentId="13_ncr:1_{8583B14C-B40D-4492-9D60-1D2F6C4F1C42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Ressources Manquantes" sheetId="1" r:id="rId1"/>
    <sheet name="Données Modifiables" sheetId="4" r:id="rId2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D8" i="1"/>
  <c r="E8" i="1"/>
  <c r="F8" i="1"/>
  <c r="G8" i="1"/>
  <c r="H8" i="1"/>
  <c r="I8" i="1"/>
  <c r="J8" i="1"/>
  <c r="K8" i="1"/>
  <c r="C5" i="1"/>
  <c r="C7" i="1"/>
  <c r="C6" i="1"/>
  <c r="G12" i="1" a="1"/>
  <c r="G12" i="1" s="1"/>
  <c r="F12" i="1" a="1"/>
  <c r="F12" i="1" s="1"/>
  <c r="E12" i="1" a="1"/>
  <c r="E12" i="1" s="1"/>
  <c r="D12" i="1" a="1"/>
  <c r="D12" i="1" s="1"/>
  <c r="C12" i="1" a="1"/>
  <c r="C12" i="1" s="1"/>
  <c r="B12" i="1" a="1"/>
  <c r="B12" i="1" s="1"/>
  <c r="K7" i="1"/>
  <c r="K6" i="1"/>
  <c r="K5" i="1"/>
  <c r="J5" i="1"/>
  <c r="J6" i="1"/>
  <c r="J7" i="1"/>
  <c r="I5" i="1"/>
  <c r="I6" i="1"/>
  <c r="I7" i="1"/>
  <c r="H5" i="1"/>
  <c r="H6" i="1"/>
  <c r="H7" i="1"/>
  <c r="G5" i="1"/>
  <c r="G6" i="1"/>
  <c r="G7" i="1"/>
  <c r="F5" i="1"/>
  <c r="F6" i="1"/>
  <c r="F7" i="1"/>
  <c r="E5" i="1"/>
  <c r="E6" i="1"/>
  <c r="E7" i="1"/>
  <c r="D5" i="1"/>
  <c r="D6" i="1"/>
  <c r="D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<sst xmlns="http://schemas.openxmlformats.org/spreadsheetml/2006/main" count="124" uniqueCount="76">
  <si>
    <t>Rang</t>
  </si>
  <si>
    <t>S1</t>
  </si>
  <si>
    <t>F2</t>
  </si>
  <si>
    <t>F3</t>
  </si>
  <si>
    <t>F4</t>
  </si>
  <si>
    <t>F5</t>
  </si>
  <si>
    <t>F6</t>
  </si>
  <si>
    <t>Dragon</t>
  </si>
  <si>
    <t>???</t>
  </si>
  <si>
    <t>F1</t>
  </si>
  <si>
    <t>E1</t>
  </si>
  <si>
    <t>E2</t>
  </si>
  <si>
    <t>E3</t>
  </si>
  <si>
    <t>E4</t>
  </si>
  <si>
    <t>E5</t>
  </si>
  <si>
    <t>E6</t>
  </si>
  <si>
    <t>D1</t>
  </si>
  <si>
    <t>D2</t>
  </si>
  <si>
    <t>D3</t>
  </si>
  <si>
    <t>D4</t>
  </si>
  <si>
    <t>D5</t>
  </si>
  <si>
    <t>D6</t>
  </si>
  <si>
    <t>C1</t>
  </si>
  <si>
    <t>C2</t>
  </si>
  <si>
    <t>C3</t>
  </si>
  <si>
    <t>C4</t>
  </si>
  <si>
    <t>C5</t>
  </si>
  <si>
    <t>C6</t>
  </si>
  <si>
    <t>B1</t>
  </si>
  <si>
    <t>B2</t>
  </si>
  <si>
    <t>B3</t>
  </si>
  <si>
    <t>B4</t>
  </si>
  <si>
    <t>B5</t>
  </si>
  <si>
    <t>B6</t>
  </si>
  <si>
    <t>A1</t>
  </si>
  <si>
    <t>A2</t>
  </si>
  <si>
    <t>A3</t>
  </si>
  <si>
    <t>A4</t>
  </si>
  <si>
    <t>A5</t>
  </si>
  <si>
    <t>A6</t>
  </si>
  <si>
    <t>S2</t>
  </si>
  <si>
    <t>S3</t>
  </si>
  <si>
    <t>S4</t>
  </si>
  <si>
    <t>S5</t>
  </si>
  <si>
    <t>S6</t>
  </si>
  <si>
    <t>Mon stock :</t>
  </si>
  <si>
    <t>Mes monstres :</t>
  </si>
  <si>
    <t>Ce qu'il me manque :</t>
  </si>
  <si>
    <t>Coût total :</t>
  </si>
  <si>
    <t>S0</t>
  </si>
  <si>
    <t>A0</t>
  </si>
  <si>
    <t>B0</t>
  </si>
  <si>
    <t>C0</t>
  </si>
  <si>
    <t>D0</t>
  </si>
  <si>
    <t>E0</t>
  </si>
  <si>
    <t>F0</t>
  </si>
  <si>
    <t>Items</t>
  </si>
  <si>
    <t>Item</t>
  </si>
  <si>
    <t>Nombre de up</t>
  </si>
  <si>
    <t>Slime</t>
  </si>
  <si>
    <t>Nature</t>
  </si>
  <si>
    <t>Beast</t>
  </si>
  <si>
    <t>Inorganic</t>
  </si>
  <si>
    <t>Demon</t>
  </si>
  <si>
    <t>Undead</t>
  </si>
  <si>
    <t>Hero</t>
  </si>
  <si>
    <t>Crystal</t>
  </si>
  <si>
    <t>Pearl</t>
  </si>
  <si>
    <t>Sphere</t>
  </si>
  <si>
    <t>Iridescent Orb</t>
  </si>
  <si>
    <t>Illustrious Iris</t>
  </si>
  <si>
    <t>Emerald</t>
  </si>
  <si>
    <t>Sapphire</t>
  </si>
  <si>
    <t>Ruby</t>
  </si>
  <si>
    <t>Gold</t>
  </si>
  <si>
    <t>Orb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</si>
</sst>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4" xfId="0" applyBorder="1"/>
    <xf numFmtId="0" fontId="0" fillId="0" borderId="2" xfId="0" applyBorder="1"/>
    <xf numFmtId="0" fontId="0" fillId="0" borderId="0" xfId="0" applyBorder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3" xfId="0" applyBorder="1"/>
    <xf numFmtId="0" fontId="3" fillId="0" borderId="0" xfId="0" applyFont="1" applyAlignment="1"/>
    <xf numFmtId="0" fontId="4" fillId="0" borderId="0" xfId="0" applyFont="1" applyAlignment="1"/>
    <xf numFmtId="0" fontId="3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49" fontId="1" fillId="0" borderId="5" xfId="0" applyNumberFormat="1" applyFont="1" applyBorder="1"/>
    <xf numFmtId="49" fontId="1" fillId="0" borderId="6" xfId="0" applyNumberFormat="1" applyFont="1" applyBorder="1"/>
    <xf numFmtId="1" fontId="0" fillId="0" borderId="6" xfId="0" applyNumberForma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3" xfId="0" applyBorder="1" applyAlignment="1">
      <alignment horizontal="left" vertical="center"/>
    </xf>
    <xf numFmtId="1" fontId="0" fillId="0" borderId="6" xfId="0" applyNumberFormat="1" applyBorder="1"/>
    <xf numFmtId="1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1" fontId="1" fillId="0" borderId="9" xfId="0" applyNumberFormat="1" applyFont="1" applyBorder="1" applyAlignment="1">
      <alignment horizontal="center" vertical="center"/>
    </xf>
    <xf numFmtId="1" fontId="1" fillId="0" borderId="7" xfId="0" applyNumberFormat="1" applyFont="1" applyBorder="1" applyAlignment="1">
      <alignment horizontal="center" vertical="center"/>
    </xf>
    <xf numFmtId="0" fontId="0" fillId="0" borderId="2" xfId="0" applyFont="1" applyBorder="1"/>
    <xf numFmtId="0" fontId="0" fillId="0" borderId="0" xfId="0" applyAlignment="1"/>
    <xf numFmtId="0" fontId="0" fillId="0" borderId="11" xfId="0" applyBorder="1"/>
    <xf numFmtId="1" fontId="0" fillId="0" borderId="10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20" fontId="0" fillId="0" borderId="0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03">
    <dxf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30" formatCode="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B050"/>
      </font>
    </dxf>
    <dxf>
      <font>
        <color rgb="FF9C0006"/>
      </font>
    </dxf>
    <dxf>
      <font>
        <color rgb="FF9C0006"/>
      </font>
    </dxf>
    <dxf>
      <font>
        <color theme="9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266700</xdr:colOff>
          <xdr:row>3</xdr:row>
          <xdr:rowOff>0</xdr:rowOff>
        </xdr:from>
        <xdr:to>
          <xdr:col>13</xdr:col>
          <xdr:colOff>274320</xdr:colOff>
          <xdr:row>5</xdr:row>
          <xdr:rowOff>0</xdr:rowOff>
        </xdr:to>
        <xdr:sp macro="" textlink="">
          <xdr:nvSpPr>
            <xdr:cNvPr id="1025" name="CommandButton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</xdr:colOff>
          <xdr:row>3</xdr:row>
          <xdr:rowOff>0</xdr:rowOff>
        </xdr:from>
        <xdr:to>
          <xdr:col>12</xdr:col>
          <xdr:colOff>167640</xdr:colOff>
          <xdr:row>5</xdr:row>
          <xdr:rowOff>0</xdr:rowOff>
        </xdr:to>
        <xdr:sp macro="" textlink="">
          <xdr:nvSpPr>
            <xdr:cNvPr id="1026" name="CommandButtonReloa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0000000}" name="TableMissingItem" displayName="TableMissingItem" ref="B4:K8" totalsRowShown="0" headerRowDxfId="97" dataDxfId="95" headerRowBorderDxfId="96" tableBorderDxfId="94" totalsRowBorderDxfId="93">
  <autoFilter ref="B4:K8" xr:uid="{00000000-0009-0000-0100-000011000000}"/>
  <tableColumns count="10">
    <tableColumn id="10" xr3:uid="{2835CCC4-9D82-4180-8BE4-B54713E601A2}" name="Items" dataDxfId="92"/>
    <tableColumn id="1" xr3:uid="{00000000-0010-0000-0000-000001000000}" name="Slime" dataDxfId="91">
      <calculatedColumnFormula>'Données Modifiables'!C72-StockItem[[#This Row],[Slime]]</calculatedColumnFormula>
    </tableColumn>
    <tableColumn id="2" xr3:uid="{00000000-0010-0000-0000-000002000000}" name="Dragon" dataDxfId="90">
      <calculatedColumnFormula>'Données Modifiables'!D72-StockItem[[#This Row],[Dragon]]</calculatedColumnFormula>
    </tableColumn>
    <tableColumn id="3" xr3:uid="{00000000-0010-0000-0000-000003000000}" name="Nature" dataDxfId="89">
      <calculatedColumnFormula>'Données Modifiables'!E72-StockItem[[#This Row],[Nature]]</calculatedColumnFormula>
    </tableColumn>
    <tableColumn id="4" xr3:uid="{00000000-0010-0000-0000-000004000000}" name="Beast" dataDxfId="88">
      <calculatedColumnFormula>'Données Modifiables'!F72-StockItem[[#This Row],[Beast]]</calculatedColumnFormula>
    </tableColumn>
    <tableColumn id="5" xr3:uid="{00000000-0010-0000-0000-000005000000}" name="Inorganic" dataDxfId="87">
      <calculatedColumnFormula>'Données Modifiables'!G72-StockItem[[#This Row],[Inorganic]]</calculatedColumnFormula>
    </tableColumn>
    <tableColumn id="6" xr3:uid="{00000000-0010-0000-0000-000006000000}" name="Demon" dataDxfId="86">
      <calculatedColumnFormula>'Données Modifiables'!H72-StockItem[[#This Row],[Demon]]</calculatedColumnFormula>
    </tableColumn>
    <tableColumn id="7" xr3:uid="{00000000-0010-0000-0000-000007000000}" name="Undead" dataDxfId="85">
      <calculatedColumnFormula>'Données Modifiables'!I72-StockItem[[#This Row],[Undead]]</calculatedColumnFormula>
    </tableColumn>
    <tableColumn id="8" xr3:uid="{00000000-0010-0000-0000-000008000000}" name="???" dataDxfId="84">
      <calculatedColumnFormula>'Données Modifiables'!J72-StockItem[[#This Row],[???]]</calculatedColumnFormula>
    </tableColumn>
    <tableColumn id="9" xr3:uid="{00000000-0010-0000-0000-000009000000}" name="Hero" dataDxfId="83">
      <calculatedColumnFormula>'Données Modifiables'!K72-StockItem[[#This Row],[Hero]]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3000000}" name="TableMissingOther" displayName="TableMissingOther" ref="B11:G12" totalsRowShown="0" headerRowDxfId="82" dataDxfId="80" headerRowBorderDxfId="81" tableBorderDxfId="79" totalsRowBorderDxfId="78">
  <autoFilter ref="B11:G12" xr:uid="{00000000-0009-0000-0100-000014000000}"/>
  <tableColumns count="6">
    <tableColumn id="1" xr3:uid="{00000000-0010-0000-0300-000001000000}" name="Iridescent Orb" dataDxfId="77">
      <calculatedColumnFormula array="1">TotalCostOther[Iridescent Orb]-StockOther[[#This Row],[Iridescent Orb]]</calculatedColumnFormula>
    </tableColumn>
    <tableColumn id="2" xr3:uid="{00000000-0010-0000-0300-000002000000}" name="Illustrious Iris" dataDxfId="76">
      <calculatedColumnFormula array="1">TotalCostOther[Illustrious Iris]-StockOther[[#This Row],[Illustrious Iris]]</calculatedColumnFormula>
    </tableColumn>
    <tableColumn id="3" xr3:uid="{00000000-0010-0000-0300-000003000000}" name="Emerald" dataDxfId="75">
      <calculatedColumnFormula array="1">TotalCostOther[Emerald]-StockOther[[#This Row],[Emerald]]</calculatedColumnFormula>
    </tableColumn>
    <tableColumn id="4" xr3:uid="{00000000-0010-0000-0300-000004000000}" name="Sapphire" dataDxfId="74">
      <calculatedColumnFormula array="1">TotalCostOther[Sapphire]-StockOther[[#This Row],[Sapphire]]</calculatedColumnFormula>
    </tableColumn>
    <tableColumn id="5" xr3:uid="{00000000-0010-0000-0300-000005000000}" name="Ruby" dataDxfId="73">
      <calculatedColumnFormula array="1">TotalCostOther[Ruby]-StockOther[[#This Row],[Ruby]]</calculatedColumnFormula>
    </tableColumn>
    <tableColumn id="6" xr3:uid="{00000000-0010-0000-0300-000006000000}" name="Gold" dataDxfId="72">
      <calculatedColumnFormula array="1">TotalCostOther[Gold]-StockOther[[#This Row],[Gold]]</calculatedColumnFormula>
    </tableColumn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StockItem" displayName="StockItem" ref="B4:K8" totalsRowShown="0" headerRowDxfId="71" dataDxfId="69" headerRowBorderDxfId="70" tableBorderDxfId="68" totalsRowBorderDxfId="67">
  <autoFilter ref="B4:K8" xr:uid="{00000000-0009-0000-0100-000008000000}"/>
  <tableColumns count="10">
    <tableColumn id="10" xr3:uid="{44160033-47E5-4C5E-ADB4-857911E4EE05}" name="Items" dataDxfId="66"/>
    <tableColumn id="1" xr3:uid="{00000000-0010-0000-0400-000001000000}" name="Slime" dataDxfId="65"/>
    <tableColumn id="2" xr3:uid="{00000000-0010-0000-0400-000002000000}" name="Dragon" dataDxfId="64"/>
    <tableColumn id="3" xr3:uid="{00000000-0010-0000-0400-000003000000}" name="Nature" dataDxfId="63"/>
    <tableColumn id="4" xr3:uid="{00000000-0010-0000-0400-000004000000}" name="Beast" dataDxfId="62"/>
    <tableColumn id="5" xr3:uid="{00000000-0010-0000-0400-000005000000}" name="Inorganic" dataDxfId="61"/>
    <tableColumn id="6" xr3:uid="{00000000-0010-0000-0400-000006000000}" name="Demon" dataDxfId="60"/>
    <tableColumn id="7" xr3:uid="{00000000-0010-0000-0400-000007000000}" name="Undead" dataDxfId="59"/>
    <tableColumn id="8" xr3:uid="{00000000-0010-0000-0400-000008000000}" name="???" dataDxfId="58"/>
    <tableColumn id="9" xr3:uid="{00000000-0010-0000-0400-000009000000}" name="Hero" dataDxfId="57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StockOther" displayName="StockOther" ref="B11:G12" totalsRowShown="0" headerRowDxfId="56" dataDxfId="54" headerRowBorderDxfId="55" tableBorderDxfId="53" totalsRowBorderDxfId="52">
  <autoFilter ref="B11:G12" xr:uid="{00000000-0009-0000-0100-00000B000000}"/>
  <tableColumns count="6">
    <tableColumn id="1" xr3:uid="{00000000-0010-0000-0700-000001000000}" name="Iridescent Orb" dataDxfId="51"/>
    <tableColumn id="2" xr3:uid="{00000000-0010-0000-0700-000002000000}" name="Illustrious Iris" dataDxfId="50"/>
    <tableColumn id="3" xr3:uid="{00000000-0010-0000-0700-000003000000}" name="Emerald" dataDxfId="49"/>
    <tableColumn id="4" xr3:uid="{00000000-0010-0000-0700-000004000000}" name="Sapphire" dataDxfId="48"/>
    <tableColumn id="5" xr3:uid="{00000000-0010-0000-0700-000005000000}" name="Ruby" dataDxfId="47"/>
    <tableColumn id="6" xr3:uid="{00000000-0010-0000-0700-000006000000}" name="Gold" dataDxfId="46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TableMonster" displayName="TableMonster" ref="B17:K66" totalsRowShown="0" headerRowDxfId="45" headerRowBorderDxfId="44" tableBorderDxfId="43" totalsRowBorderDxfId="42">
  <autoFilter ref="B17:K66" xr:uid="{00000000-0009-0000-0100-00000F000000}"/>
  <tableColumns count="10">
    <tableColumn id="1" xr3:uid="{00000000-0010-0000-0800-000001000000}" name="Rang" dataDxfId="41"/>
    <tableColumn id="2" xr3:uid="{00000000-0010-0000-0800-000002000000}" name="Slime" dataDxfId="40"/>
    <tableColumn id="3" xr3:uid="{00000000-0010-0000-0800-000003000000}" name="Dragon" dataDxfId="39"/>
    <tableColumn id="4" xr3:uid="{00000000-0010-0000-0800-000004000000}" name="Nature" dataDxfId="38"/>
    <tableColumn id="5" xr3:uid="{00000000-0010-0000-0800-000005000000}" name="Beast" dataDxfId="37"/>
    <tableColumn id="6" xr3:uid="{00000000-0010-0000-0800-000006000000}" name="Inorganic" dataDxfId="36"/>
    <tableColumn id="7" xr3:uid="{00000000-0010-0000-0800-000007000000}" name="Demon" dataDxfId="35"/>
    <tableColumn id="8" xr3:uid="{00000000-0010-0000-0800-000008000000}" name="Undead" dataDxfId="34"/>
    <tableColumn id="9" xr3:uid="{00000000-0010-0000-0800-000009000000}" name="???" dataDxfId="33"/>
    <tableColumn id="10" xr3:uid="{00000000-0010-0000-0800-00000A000000}" name="Hero" dataDxfId="32"/>
  </tableColumns>
  <tableStyleInfo name="TableStyleMedium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otalCostItem" displayName="TotalCostItem" ref="B71:K75" totalsRowShown="0" headerRowDxfId="31" dataDxfId="29" headerRowBorderDxfId="30" tableBorderDxfId="28" totalsRowBorderDxfId="27">
  <autoFilter ref="B71:K75" xr:uid="{00000000-0009-0000-0100-000006000000}"/>
  <tableColumns count="10">
    <tableColumn id="10" xr3:uid="{D9410E30-9634-440C-AD96-2C350B21B487}" name="Item" dataDxfId="26"/>
    <tableColumn id="1" xr3:uid="{00000000-0010-0000-0900-000001000000}" name="Slime" dataDxfId="25"/>
    <tableColumn id="2" xr3:uid="{00000000-0010-0000-0900-000002000000}" name="Dragon" dataDxfId="24"/>
    <tableColumn id="3" xr3:uid="{00000000-0010-0000-0900-000003000000}" name="Nature" dataDxfId="23"/>
    <tableColumn id="4" xr3:uid="{00000000-0010-0000-0900-000004000000}" name="Beast" dataDxfId="22"/>
    <tableColumn id="5" xr3:uid="{00000000-0010-0000-0900-000005000000}" name="Inorganic" dataDxfId="21"/>
    <tableColumn id="6" xr3:uid="{00000000-0010-0000-0900-000006000000}" name="Demon" dataDxfId="20"/>
    <tableColumn id="7" xr3:uid="{00000000-0010-0000-0900-000007000000}" name="Undead" dataDxfId="19"/>
    <tableColumn id="8" xr3:uid="{00000000-0010-0000-0900-000008000000}" name="???" dataDxfId="18"/>
    <tableColumn id="9" xr3:uid="{00000000-0010-0000-0900-000009000000}" name="Hero" dataDxfId="17"/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C000000}" name="TotalCostOther" displayName="TotalCostOther" ref="B78:G79" totalsRowShown="0" headerRowDxfId="16" dataDxfId="14" headerRowBorderDxfId="15" tableBorderDxfId="13" totalsRowBorderDxfId="12">
  <autoFilter ref="B78:G79" xr:uid="{00000000-0009-0000-0100-000010000000}"/>
  <tableColumns count="6">
    <tableColumn id="1" xr3:uid="{00000000-0010-0000-0C00-000001000000}" name="Iridescent Orb" dataDxfId="11"/>
    <tableColumn id="2" xr3:uid="{00000000-0010-0000-0C00-000002000000}" name="Illustrious Iris" dataDxfId="10"/>
    <tableColumn id="3" xr3:uid="{00000000-0010-0000-0C00-000003000000}" name="Emerald" dataDxfId="9"/>
    <tableColumn id="4" xr3:uid="{00000000-0010-0000-0C00-000004000000}" name="Sapphire" dataDxfId="8"/>
    <tableColumn id="5" xr3:uid="{00000000-0010-0000-0C00-000005000000}" name="Ruby" dataDxfId="7"/>
    <tableColumn id="6" xr3:uid="{00000000-0010-0000-0C00-000006000000}" name="Gold" dataDxfId="6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2B5F09-E989-43C9-8F1A-A607106B575C}" name="TableUp" displayName="TableUp" ref="L13:L14" totalsRowShown="0" headerRowDxfId="5" dataDxfId="3" headerRowBorderDxfId="4" tableBorderDxfId="2" totalsRowBorderDxfId="1">
  <autoFilter ref="L13:L14" xr:uid="{762B5F09-E989-43C9-8F1A-A607106B575C}"/>
  <tableColumns count="1">
    <tableColumn id="1" xr3:uid="{B6A44BB0-9F55-4330-AFA9-3E99E169AFED}" name="Nombre de up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MissingResource"/>
  <dimension ref="B1:K12"/>
  <sheetViews>
    <sheetView zoomScale="110" zoomScaleNormal="110" workbookViewId="0">
      <selection activeCell="B12" sqref="B12"/>
    </sheetView>
  </sheetViews>
  <sheetFormatPr baseColWidth="10" defaultRowHeight="14.4" x14ac:dyDescent="0.3"/>
  <cols>
    <col min="1" max="1" width="21.44140625" customWidth="1"/>
    <col min="2" max="2" width="21.6640625" customWidth="1"/>
    <col min="3" max="3" width="14.6640625" customWidth="1"/>
    <col min="4" max="4" width="12.5546875" customWidth="1"/>
    <col min="5" max="5" width="10.5546875" customWidth="1"/>
    <col min="6" max="6" width="9.21875" customWidth="1"/>
    <col min="7" max="7" width="13.109375" customWidth="1"/>
    <col min="8" max="8" width="9.6640625" customWidth="1"/>
    <col min="9" max="9" width="12" customWidth="1"/>
    <col min="10" max="10" width="9" customWidth="1"/>
    <col min="11" max="11" width="11" customWidth="1"/>
    <col min="12" max="12" width="13.6640625" customWidth="1"/>
    <col min="13" max="13" width="15.5546875" customWidth="1"/>
    <col min="14" max="14" width="11.5546875" customWidth="1"/>
  </cols>
  <sheetData>
    <row r="1" spans="2:11" ht="21" x14ac:dyDescent="0.4">
      <c r="B1" s="7"/>
      <c r="C1" s="7"/>
      <c r="D1" s="7"/>
      <c r="E1" s="7"/>
      <c r="F1" s="7"/>
      <c r="G1" s="7"/>
    </row>
    <row r="2" spans="2:11" ht="21" x14ac:dyDescent="0.4">
      <c r="C2" s="7"/>
      <c r="D2" s="7"/>
      <c r="E2" s="32" t="s">
        <v>47</v>
      </c>
      <c r="F2" s="32"/>
      <c r="G2" s="32"/>
      <c r="H2" s="16"/>
    </row>
    <row r="4" spans="2:11" x14ac:dyDescent="0.3">
      <c r="B4" s="18" t="s">
        <v>56</v>
      </c>
      <c r="C4" s="24" t="s">
        <v>59</v>
      </c>
      <c r="D4" s="6" t="s">
        <v>7</v>
      </c>
      <c r="E4" s="6" t="s">
        <v>60</v>
      </c>
      <c r="F4" s="6" t="s">
        <v>61</v>
      </c>
      <c r="G4" s="6" t="s">
        <v>62</v>
      </c>
      <c r="H4" s="6" t="s">
        <v>63</v>
      </c>
      <c r="I4" s="6" t="s">
        <v>64</v>
      </c>
      <c r="J4" s="6" t="s">
        <v>8</v>
      </c>
      <c r="K4" s="1" t="s">
        <v>65</v>
      </c>
    </row>
    <row r="5" spans="2:11" x14ac:dyDescent="0.3">
      <c r="B5" s="22" t="s">
        <v>66</v>
      </c>
      <c r="C5" s="15">
        <f>'Données Modifiables'!C72-StockItem[[#This Row],[Slime]]</f>
        <v>-9</v>
      </c>
      <c r="D5" s="11">
        <f>'Données Modifiables'!D72-StockItem[[#This Row],[Dragon]]</f>
        <v>4</v>
      </c>
      <c r="E5" s="11">
        <f>'Données Modifiables'!E72-StockItem[[#This Row],[Nature]]</f>
        <v>1</v>
      </c>
      <c r="F5" s="11">
        <f>'Données Modifiables'!F72-StockItem[[#This Row],[Beast]]</f>
        <v>3</v>
      </c>
      <c r="G5" s="11">
        <f>'Données Modifiables'!G72-StockItem[[#This Row],[Inorganic]]</f>
        <v>-9</v>
      </c>
      <c r="H5" s="11">
        <f>'Données Modifiables'!H72-StockItem[[#This Row],[Demon]]</f>
        <v>-9</v>
      </c>
      <c r="I5" s="11">
        <f>'Données Modifiables'!I72-StockItem[[#This Row],[Undead]]</f>
        <v>-1</v>
      </c>
      <c r="J5" s="11">
        <f>'Données Modifiables'!J72-StockItem[[#This Row],[???]]</f>
        <v>-3</v>
      </c>
      <c r="K5" s="12">
        <f>'Données Modifiables'!K72-StockItem[[#This Row],[Hero]]</f>
        <v>-7</v>
      </c>
    </row>
    <row r="6" spans="2:11" x14ac:dyDescent="0.3">
      <c r="B6" s="23" t="s">
        <v>68</v>
      </c>
      <c r="C6" s="15">
        <f>'Données Modifiables'!C73-StockItem[[#This Row],[Slime]]</f>
        <v>-117</v>
      </c>
      <c r="D6" s="11">
        <f>'Données Modifiables'!D73-StockItem[[#This Row],[Dragon]]</f>
        <v>-51</v>
      </c>
      <c r="E6" s="11">
        <f>'Données Modifiables'!E73-StockItem[[#This Row],[Nature]]</f>
        <v>-143</v>
      </c>
      <c r="F6" s="11">
        <f>'Données Modifiables'!F73-StockItem[[#This Row],[Beast]]</f>
        <v>72</v>
      </c>
      <c r="G6" s="11">
        <f>'Données Modifiables'!G73-StockItem[[#This Row],[Inorganic]]</f>
        <v>67</v>
      </c>
      <c r="H6" s="11">
        <f>'Données Modifiables'!H73-StockItem[[#This Row],[Demon]]</f>
        <v>3</v>
      </c>
      <c r="I6" s="11">
        <f>'Données Modifiables'!I73-StockItem[[#This Row],[Undead]]</f>
        <v>-176</v>
      </c>
      <c r="J6" s="11">
        <f>'Données Modifiables'!J73-StockItem[[#This Row],[???]]</f>
        <v>-65</v>
      </c>
      <c r="K6" s="12">
        <f>'Données Modifiables'!K73-StockItem[[#This Row],[Hero]]</f>
        <v>-132</v>
      </c>
    </row>
    <row r="7" spans="2:11" x14ac:dyDescent="0.3">
      <c r="B7" s="23" t="s">
        <v>67</v>
      </c>
      <c r="C7" s="15">
        <f>'Données Modifiables'!C74-StockItem[[#This Row],[Slime]]</f>
        <v>-70</v>
      </c>
      <c r="D7" s="11">
        <f>'Données Modifiables'!D74-StockItem[[#This Row],[Dragon]]</f>
        <v>66</v>
      </c>
      <c r="E7" s="11">
        <f>'Données Modifiables'!E74-StockItem[[#This Row],[Nature]]</f>
        <v>61</v>
      </c>
      <c r="F7" s="11">
        <f>'Données Modifiables'!F74-StockItem[[#This Row],[Beast]]</f>
        <v>195</v>
      </c>
      <c r="G7" s="11">
        <f>'Données Modifiables'!G74-StockItem[[#This Row],[Inorganic]]</f>
        <v>138</v>
      </c>
      <c r="H7" s="11">
        <f>'Données Modifiables'!H74-StockItem[[#This Row],[Demon]]</f>
        <v>2</v>
      </c>
      <c r="I7" s="11">
        <f>'Données Modifiables'!I74-StockItem[[#This Row],[Undead]]</f>
        <v>114</v>
      </c>
      <c r="J7" s="11">
        <f>'Données Modifiables'!J74-StockItem[[#This Row],[???]]</f>
        <v>113</v>
      </c>
      <c r="K7" s="12">
        <f>'Données Modifiables'!K74-StockItem[[#This Row],[Hero]]</f>
        <v>-100</v>
      </c>
    </row>
    <row r="8" spans="2:11" x14ac:dyDescent="0.3">
      <c r="B8" s="30" t="s">
        <v>75</v>
      </c>
      <c r="C8" s="28">
        <f>'Données Modifiables'!C75-StockItem[[#This Row],[Slime]]</f>
        <v>-262</v>
      </c>
      <c r="D8" s="10">
        <f>'Données Modifiables'!D75-StockItem[[#This Row],[Dragon]]</f>
        <v>-37</v>
      </c>
      <c r="E8" s="10">
        <f>'Données Modifiables'!E75-StockItem[[#This Row],[Nature]]</f>
        <v>4</v>
      </c>
      <c r="F8" s="10">
        <f>'Données Modifiables'!F75-StockItem[[#This Row],[Beast]]</f>
        <v>130</v>
      </c>
      <c r="G8" s="10">
        <f>'Données Modifiables'!G75-StockItem[[#This Row],[Inorganic]]</f>
        <v>14</v>
      </c>
      <c r="H8" s="10">
        <f>'Données Modifiables'!H75-StockItem[[#This Row],[Demon]]</f>
        <v>-45</v>
      </c>
      <c r="I8" s="10">
        <f>'Données Modifiables'!I75-StockItem[[#This Row],[Undead]]</f>
        <v>108</v>
      </c>
      <c r="J8" s="10">
        <f>'Données Modifiables'!J75-StockItem[[#This Row],[???]]</f>
        <v>-445</v>
      </c>
      <c r="K8" s="29">
        <f>'Données Modifiables'!K75-StockItem[[#This Row],[Hero]]</f>
        <v>-295</v>
      </c>
    </row>
    <row r="9" spans="2:11" x14ac:dyDescent="0.3">
      <c r="B9" s="20"/>
      <c r="C9" s="20"/>
      <c r="D9" s="20"/>
      <c r="E9" s="20"/>
      <c r="F9" s="20"/>
      <c r="G9" s="20"/>
      <c r="H9" s="20"/>
      <c r="I9" s="20"/>
      <c r="J9" s="20"/>
    </row>
    <row r="10" spans="2:11" x14ac:dyDescent="0.3">
      <c r="B10" s="21"/>
      <c r="C10" s="21"/>
      <c r="D10" s="21"/>
      <c r="E10" s="21"/>
      <c r="F10" s="21"/>
      <c r="G10" s="21"/>
      <c r="H10" s="21"/>
      <c r="I10" s="21"/>
      <c r="J10" s="21"/>
    </row>
    <row r="11" spans="2:11" x14ac:dyDescent="0.3">
      <c r="B11" s="2" t="s">
        <v>69</v>
      </c>
      <c r="C11" s="6" t="s">
        <v>70</v>
      </c>
      <c r="D11" s="6" t="s">
        <v>71</v>
      </c>
      <c r="E11" s="6" t="s">
        <v>72</v>
      </c>
      <c r="F11" s="6" t="s">
        <v>73</v>
      </c>
      <c r="G11" s="1" t="s">
        <v>74</v>
      </c>
      <c r="H11" s="21"/>
      <c r="I11" s="21"/>
      <c r="J11" s="21"/>
    </row>
    <row r="12" spans="2:11" x14ac:dyDescent="0.3">
      <c r="B12" s="19" cm="1">
        <f t="array" ref="B12">TotalCostOther[Iridescent Orb]-StockOther[[#This Row],[Iridescent Orb]]</f>
        <v>24</v>
      </c>
      <c r="C12" s="19" cm="1">
        <f t="array" ref="C12">TotalCostOther[Illustrious Iris]-StockOther[[#This Row],[Illustrious Iris]]</f>
        <v>584</v>
      </c>
      <c r="D12" s="19" cm="1">
        <f t="array" ref="D12">TotalCostOther[Emerald]-StockOther[[#This Row],[Emerald]]</f>
        <v>-236</v>
      </c>
      <c r="E12" s="19" cm="1">
        <f t="array" ref="E12">TotalCostOther[Sapphire]-StockOther[[#This Row],[Sapphire]]</f>
        <v>-1186</v>
      </c>
      <c r="F12" s="19" cm="1">
        <f t="array" ref="F12">TotalCostOther[Ruby]-StockOther[[#This Row],[Ruby]]</f>
        <v>-303</v>
      </c>
      <c r="G12" s="19" cm="1">
        <f t="array" ref="G12">TotalCostOther[Gold]-StockOther[[#This Row],[Gold]]</f>
        <v>890688</v>
      </c>
      <c r="H12" s="20"/>
      <c r="I12" s="20"/>
      <c r="J12" s="20"/>
    </row>
  </sheetData>
  <mergeCells count="1">
    <mergeCell ref="E2:G2"/>
  </mergeCells>
  <phoneticPr fontId="2" type="noConversion"/>
  <conditionalFormatting sqref="C5:K8">
    <cfRule type="cellIs" dxfId="102" priority="3" operator="lessThan">
      <formula>1</formula>
    </cfRule>
    <cfRule type="cellIs" dxfId="101" priority="4" operator="lessThan">
      <formula>0</formula>
    </cfRule>
    <cfRule type="cellIs" dxfId="100" priority="5" operator="greaterThan">
      <formula>0</formula>
    </cfRule>
  </conditionalFormatting>
  <conditionalFormatting sqref="B12:G12">
    <cfRule type="cellIs" dxfId="99" priority="1" operator="greaterThan">
      <formula>0</formula>
    </cfRule>
    <cfRule type="cellIs" dxfId="98" priority="2" operator="lessThan">
      <formula>1</formula>
    </cfRule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Data"/>
  <dimension ref="B1:L104"/>
  <sheetViews>
    <sheetView tabSelected="1" zoomScale="110" zoomScaleNormal="110" workbookViewId="0">
      <selection activeCell="J26" sqref="J26"/>
    </sheetView>
  </sheetViews>
  <sheetFormatPr baseColWidth="10" defaultRowHeight="14.4" x14ac:dyDescent="0.3"/>
  <cols>
    <col min="1" max="1" width="10.109375" customWidth="1"/>
    <col min="2" max="2" width="18" customWidth="1"/>
    <col min="3" max="3" width="14.5546875" customWidth="1"/>
    <col min="4" max="4" width="12.44140625" customWidth="1"/>
    <col min="5" max="5" width="11" customWidth="1"/>
    <col min="6" max="6" width="10.44140625" customWidth="1"/>
    <col min="7" max="7" width="13.77734375" customWidth="1"/>
    <col min="8" max="8" width="10.44140625" customWidth="1"/>
    <col min="9" max="9" width="11.77734375" customWidth="1"/>
    <col min="10" max="10" width="9.6640625" customWidth="1"/>
    <col min="11" max="11" width="11.21875" customWidth="1"/>
    <col min="12" max="12" width="15.44140625" customWidth="1"/>
    <col min="13" max="13" width="16.6640625" customWidth="1"/>
  </cols>
  <sheetData>
    <row r="1" spans="2:12" ht="12.6" customHeight="1" x14ac:dyDescent="0.4">
      <c r="B1" s="7"/>
      <c r="C1" s="7"/>
      <c r="D1" s="7"/>
      <c r="E1" s="4"/>
      <c r="F1" s="4"/>
      <c r="H1" s="5"/>
      <c r="I1" s="7"/>
      <c r="J1" s="8"/>
      <c r="K1" s="8"/>
    </row>
    <row r="2" spans="2:12" ht="21" x14ac:dyDescent="0.3">
      <c r="E2" s="9"/>
      <c r="F2" s="32" t="s">
        <v>45</v>
      </c>
      <c r="G2" s="32"/>
    </row>
    <row r="4" spans="2:12" x14ac:dyDescent="0.3">
      <c r="B4" s="6" t="s">
        <v>56</v>
      </c>
      <c r="C4" s="24" t="s">
        <v>59</v>
      </c>
      <c r="D4" s="6" t="s">
        <v>7</v>
      </c>
      <c r="E4" s="6" t="s">
        <v>60</v>
      </c>
      <c r="F4" s="6" t="s">
        <v>61</v>
      </c>
      <c r="G4" s="6" t="s">
        <v>62</v>
      </c>
      <c r="H4" s="6" t="s">
        <v>63</v>
      </c>
      <c r="I4" s="6" t="s">
        <v>64</v>
      </c>
      <c r="J4" s="6" t="s">
        <v>8</v>
      </c>
      <c r="K4" s="1" t="s">
        <v>65</v>
      </c>
    </row>
    <row r="5" spans="2:12" x14ac:dyDescent="0.3">
      <c r="B5" s="22" t="s">
        <v>66</v>
      </c>
      <c r="C5" s="15">
        <v>15</v>
      </c>
      <c r="D5" s="11">
        <v>1</v>
      </c>
      <c r="E5" s="11">
        <v>6</v>
      </c>
      <c r="F5" s="11">
        <v>16</v>
      </c>
      <c r="G5" s="11">
        <v>19</v>
      </c>
      <c r="H5" s="11">
        <v>17</v>
      </c>
      <c r="I5" s="11">
        <v>11</v>
      </c>
      <c r="J5" s="11">
        <v>9</v>
      </c>
      <c r="K5" s="12">
        <v>7</v>
      </c>
    </row>
    <row r="6" spans="2:12" x14ac:dyDescent="0.3">
      <c r="B6" s="23" t="s">
        <v>68</v>
      </c>
      <c r="C6" s="15">
        <v>229</v>
      </c>
      <c r="D6" s="11">
        <v>139</v>
      </c>
      <c r="E6" s="11">
        <v>285</v>
      </c>
      <c r="F6" s="11">
        <v>284</v>
      </c>
      <c r="G6" s="11">
        <v>113</v>
      </c>
      <c r="H6" s="11">
        <v>181</v>
      </c>
      <c r="I6" s="11">
        <v>408</v>
      </c>
      <c r="J6" s="11">
        <v>161</v>
      </c>
      <c r="K6" s="12">
        <v>132</v>
      </c>
    </row>
    <row r="7" spans="2:12" x14ac:dyDescent="0.3">
      <c r="B7" s="23" t="s">
        <v>67</v>
      </c>
      <c r="C7" s="15">
        <v>179</v>
      </c>
      <c r="D7" s="11">
        <v>40</v>
      </c>
      <c r="E7" s="11">
        <v>100</v>
      </c>
      <c r="F7" s="11">
        <v>65</v>
      </c>
      <c r="G7" s="11">
        <v>28</v>
      </c>
      <c r="H7" s="11">
        <v>158</v>
      </c>
      <c r="I7" s="11">
        <v>76</v>
      </c>
      <c r="J7" s="11">
        <v>29</v>
      </c>
      <c r="K7" s="12">
        <v>100</v>
      </c>
    </row>
    <row r="8" spans="2:12" x14ac:dyDescent="0.3">
      <c r="B8" s="23" t="s">
        <v>75</v>
      </c>
      <c r="C8" s="28">
        <v>318</v>
      </c>
      <c r="D8" s="10">
        <v>65</v>
      </c>
      <c r="E8" s="10">
        <v>124</v>
      </c>
      <c r="F8" s="10">
        <v>186</v>
      </c>
      <c r="G8" s="10">
        <v>98</v>
      </c>
      <c r="H8" s="10">
        <v>251</v>
      </c>
      <c r="I8" s="10">
        <v>60</v>
      </c>
      <c r="J8" s="10">
        <v>445</v>
      </c>
      <c r="K8" s="29">
        <v>295</v>
      </c>
    </row>
    <row r="9" spans="2:12" x14ac:dyDescent="0.3">
      <c r="B9" s="20"/>
      <c r="C9" s="20"/>
      <c r="D9" s="20"/>
      <c r="E9" s="20"/>
      <c r="F9" s="20"/>
      <c r="G9" s="20"/>
      <c r="H9" s="20"/>
      <c r="I9" s="20"/>
      <c r="J9" s="20"/>
    </row>
    <row r="10" spans="2:12" x14ac:dyDescent="0.3">
      <c r="B10" s="3"/>
      <c r="C10" s="3"/>
      <c r="D10" s="3"/>
      <c r="E10" s="3"/>
      <c r="F10" s="3"/>
      <c r="G10" s="3"/>
      <c r="H10" s="3"/>
      <c r="I10" s="3"/>
      <c r="J10" s="3"/>
    </row>
    <row r="11" spans="2:12" x14ac:dyDescent="0.3">
      <c r="B11" s="2" t="s">
        <v>69</v>
      </c>
      <c r="C11" s="6" t="s">
        <v>70</v>
      </c>
      <c r="D11" s="6" t="s">
        <v>71</v>
      </c>
      <c r="E11" s="6" t="s">
        <v>72</v>
      </c>
      <c r="F11" s="6" t="s">
        <v>73</v>
      </c>
      <c r="G11" s="1" t="s">
        <v>74</v>
      </c>
      <c r="H11" s="3"/>
      <c r="I11" s="3"/>
      <c r="J11" s="3"/>
    </row>
    <row r="12" spans="2:12" x14ac:dyDescent="0.3">
      <c r="B12" s="15">
        <v>8</v>
      </c>
      <c r="C12" s="11">
        <v>22</v>
      </c>
      <c r="D12" s="11">
        <v>1111</v>
      </c>
      <c r="E12" s="11">
        <v>1858</v>
      </c>
      <c r="F12" s="11">
        <v>1592</v>
      </c>
      <c r="G12" s="12">
        <v>-16288</v>
      </c>
      <c r="H12" s="20"/>
      <c r="I12" s="31"/>
      <c r="J12" s="20"/>
    </row>
    <row r="13" spans="2:12" x14ac:dyDescent="0.3">
      <c r="L13" s="26" t="s">
        <v>58</v>
      </c>
    </row>
    <row r="14" spans="2:12" x14ac:dyDescent="0.3">
      <c r="L14" s="27">
        <v>5</v>
      </c>
    </row>
    <row r="15" spans="2:12" ht="21" x14ac:dyDescent="0.3">
      <c r="F15" s="32" t="s">
        <v>46</v>
      </c>
      <c r="G15" s="32"/>
    </row>
    <row r="17" spans="2:11" x14ac:dyDescent="0.3">
      <c r="B17" s="2" t="s">
        <v>0</v>
      </c>
      <c r="C17" s="24" t="s">
        <v>59</v>
      </c>
      <c r="D17" s="6" t="s">
        <v>7</v>
      </c>
      <c r="E17" s="6" t="s">
        <v>60</v>
      </c>
      <c r="F17" s="6" t="s">
        <v>61</v>
      </c>
      <c r="G17" s="6" t="s">
        <v>62</v>
      </c>
      <c r="H17" s="6" t="s">
        <v>63</v>
      </c>
      <c r="I17" s="6" t="s">
        <v>64</v>
      </c>
      <c r="J17" s="6" t="s">
        <v>8</v>
      </c>
      <c r="K17" s="1" t="s">
        <v>65</v>
      </c>
    </row>
    <row r="18" spans="2:11" x14ac:dyDescent="0.3">
      <c r="B18" s="13" t="s">
        <v>44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</row>
    <row r="19" spans="2:11" x14ac:dyDescent="0.3">
      <c r="B19" s="13" t="s">
        <v>43</v>
      </c>
      <c r="C19" s="10">
        <v>1</v>
      </c>
      <c r="D19" s="10">
        <v>0</v>
      </c>
      <c r="E19" s="10">
        <v>0</v>
      </c>
      <c r="F19" s="10">
        <v>1</v>
      </c>
      <c r="G19" s="10">
        <v>1</v>
      </c>
      <c r="H19" s="10">
        <v>0</v>
      </c>
      <c r="I19" s="10">
        <v>2</v>
      </c>
      <c r="J19" s="10">
        <v>1</v>
      </c>
      <c r="K19" s="10">
        <v>0</v>
      </c>
    </row>
    <row r="20" spans="2:11" x14ac:dyDescent="0.3">
      <c r="B20" s="13" t="s">
        <v>42</v>
      </c>
      <c r="C20" s="10">
        <v>1</v>
      </c>
      <c r="D20" s="10">
        <v>2</v>
      </c>
      <c r="E20" s="10">
        <v>2</v>
      </c>
      <c r="F20" s="10">
        <v>3</v>
      </c>
      <c r="G20" s="10">
        <v>2</v>
      </c>
      <c r="H20" s="10">
        <v>1</v>
      </c>
      <c r="I20" s="10">
        <v>0</v>
      </c>
      <c r="J20" s="10">
        <v>2</v>
      </c>
      <c r="K20" s="10">
        <v>0</v>
      </c>
    </row>
    <row r="21" spans="2:11" x14ac:dyDescent="0.3">
      <c r="B21" s="13" t="s">
        <v>41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</row>
    <row r="22" spans="2:11" x14ac:dyDescent="0.3">
      <c r="B22" s="13" t="s">
        <v>40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</row>
    <row r="23" spans="2:11" x14ac:dyDescent="0.3">
      <c r="B23" s="13" t="s">
        <v>1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</row>
    <row r="24" spans="2:11" x14ac:dyDescent="0.3">
      <c r="B24" s="13" t="s">
        <v>49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</row>
    <row r="25" spans="2:11" x14ac:dyDescent="0.3">
      <c r="B25" s="13" t="s">
        <v>39</v>
      </c>
      <c r="C25" s="11">
        <v>0</v>
      </c>
      <c r="D25" s="11">
        <v>0</v>
      </c>
      <c r="E25" s="11">
        <v>1</v>
      </c>
      <c r="F25" s="11">
        <v>3</v>
      </c>
      <c r="G25" s="11">
        <v>1</v>
      </c>
      <c r="H25" s="11">
        <v>2</v>
      </c>
      <c r="I25" s="11">
        <v>0</v>
      </c>
      <c r="J25" s="11">
        <v>0</v>
      </c>
      <c r="K25" s="11">
        <v>0</v>
      </c>
    </row>
    <row r="26" spans="2:11" x14ac:dyDescent="0.3">
      <c r="B26" s="13" t="s">
        <v>38</v>
      </c>
      <c r="C26" s="10">
        <v>2</v>
      </c>
      <c r="D26" s="10">
        <v>1</v>
      </c>
      <c r="E26" s="10">
        <v>2</v>
      </c>
      <c r="F26" s="10">
        <v>8</v>
      </c>
      <c r="G26" s="10">
        <v>3</v>
      </c>
      <c r="H26" s="10">
        <v>4</v>
      </c>
      <c r="I26" s="10">
        <v>6</v>
      </c>
      <c r="J26" s="10">
        <v>0</v>
      </c>
      <c r="K26" s="10">
        <v>0</v>
      </c>
    </row>
    <row r="27" spans="2:11" x14ac:dyDescent="0.3">
      <c r="B27" s="13" t="s">
        <v>37</v>
      </c>
      <c r="C27" s="10">
        <v>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</row>
    <row r="28" spans="2:11" x14ac:dyDescent="0.3">
      <c r="B28" s="13" t="s">
        <v>36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</row>
    <row r="29" spans="2:11" x14ac:dyDescent="0.3">
      <c r="B29" s="13" t="s">
        <v>35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</row>
    <row r="30" spans="2:11" x14ac:dyDescent="0.3">
      <c r="B30" s="13" t="s">
        <v>34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</row>
    <row r="31" spans="2:11" x14ac:dyDescent="0.3">
      <c r="B31" s="13" t="s">
        <v>50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</row>
    <row r="32" spans="2:11" x14ac:dyDescent="0.3">
      <c r="B32" s="13" t="s">
        <v>33</v>
      </c>
      <c r="C32" s="10">
        <v>0</v>
      </c>
      <c r="D32" s="10">
        <v>0</v>
      </c>
      <c r="E32" s="10">
        <v>1</v>
      </c>
      <c r="F32" s="10">
        <v>0</v>
      </c>
      <c r="G32" s="10">
        <v>0</v>
      </c>
      <c r="H32" s="10">
        <v>3</v>
      </c>
      <c r="I32" s="10">
        <v>3</v>
      </c>
      <c r="J32" s="10">
        <v>0</v>
      </c>
      <c r="K32" s="10">
        <v>0</v>
      </c>
    </row>
    <row r="33" spans="2:11" x14ac:dyDescent="0.3">
      <c r="B33" s="13" t="s">
        <v>32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</row>
    <row r="34" spans="2:11" x14ac:dyDescent="0.3">
      <c r="B34" s="13" t="s">
        <v>31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</row>
    <row r="35" spans="2:11" x14ac:dyDescent="0.3">
      <c r="B35" s="13" t="s">
        <v>30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</row>
    <row r="36" spans="2:11" x14ac:dyDescent="0.3">
      <c r="B36" s="13" t="s">
        <v>29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</row>
    <row r="37" spans="2:11" x14ac:dyDescent="0.3">
      <c r="B37" s="13" t="s">
        <v>28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</row>
    <row r="38" spans="2:11" x14ac:dyDescent="0.3">
      <c r="B38" s="13" t="s">
        <v>51</v>
      </c>
      <c r="C38" s="11">
        <v>0</v>
      </c>
      <c r="D38" s="11">
        <v>0</v>
      </c>
      <c r="E38" s="11">
        <v>0</v>
      </c>
      <c r="F38" s="11">
        <v>0</v>
      </c>
      <c r="G38" s="11">
        <v>0</v>
      </c>
      <c r="H38" s="11">
        <v>0</v>
      </c>
      <c r="I38" s="11">
        <v>0</v>
      </c>
      <c r="J38" s="11">
        <v>0</v>
      </c>
      <c r="K38" s="11">
        <v>0</v>
      </c>
    </row>
    <row r="39" spans="2:11" x14ac:dyDescent="0.3">
      <c r="B39" s="13" t="s">
        <v>27</v>
      </c>
      <c r="C39" s="10">
        <v>0</v>
      </c>
      <c r="D39" s="10">
        <v>0</v>
      </c>
      <c r="E39" s="10">
        <v>2</v>
      </c>
      <c r="F39" s="10">
        <v>0</v>
      </c>
      <c r="G39" s="10">
        <v>0</v>
      </c>
      <c r="H39" s="10">
        <v>1</v>
      </c>
      <c r="I39" s="10">
        <v>0</v>
      </c>
      <c r="J39" s="10">
        <v>0</v>
      </c>
      <c r="K39" s="10">
        <v>0</v>
      </c>
    </row>
    <row r="40" spans="2:11" x14ac:dyDescent="0.3">
      <c r="B40" s="13" t="s">
        <v>26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</row>
    <row r="41" spans="2:11" x14ac:dyDescent="0.3">
      <c r="B41" s="13" t="s">
        <v>25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</row>
    <row r="42" spans="2:11" x14ac:dyDescent="0.3">
      <c r="B42" s="13" t="s">
        <v>24</v>
      </c>
      <c r="C42" s="10">
        <v>0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</row>
    <row r="43" spans="2:11" x14ac:dyDescent="0.3">
      <c r="B43" s="13" t="s">
        <v>23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</row>
    <row r="44" spans="2:11" x14ac:dyDescent="0.3">
      <c r="B44" s="13" t="s">
        <v>22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</row>
    <row r="45" spans="2:11" x14ac:dyDescent="0.3">
      <c r="B45" s="13" t="s">
        <v>52</v>
      </c>
      <c r="C45" s="11">
        <v>0</v>
      </c>
      <c r="D45" s="11">
        <v>0</v>
      </c>
      <c r="E45" s="11">
        <v>0</v>
      </c>
      <c r="F45" s="11">
        <v>0</v>
      </c>
      <c r="G45" s="11">
        <v>0</v>
      </c>
      <c r="H45" s="11">
        <v>0</v>
      </c>
      <c r="I45" s="11">
        <v>0</v>
      </c>
      <c r="J45" s="11">
        <v>0</v>
      </c>
      <c r="K45" s="11">
        <v>0</v>
      </c>
    </row>
    <row r="46" spans="2:11" x14ac:dyDescent="0.3">
      <c r="B46" s="13" t="s">
        <v>21</v>
      </c>
      <c r="C46" s="10">
        <v>0</v>
      </c>
      <c r="D46" s="10">
        <v>0</v>
      </c>
      <c r="E46" s="10">
        <v>0</v>
      </c>
      <c r="F46" s="10">
        <v>0</v>
      </c>
      <c r="G46" s="10">
        <v>0</v>
      </c>
      <c r="H46" s="10">
        <v>1</v>
      </c>
      <c r="I46" s="10">
        <v>0</v>
      </c>
      <c r="J46" s="10">
        <v>0</v>
      </c>
      <c r="K46" s="10">
        <v>0</v>
      </c>
    </row>
    <row r="47" spans="2:11" x14ac:dyDescent="0.3">
      <c r="B47" s="13" t="s">
        <v>20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</row>
    <row r="48" spans="2:11" x14ac:dyDescent="0.3">
      <c r="B48" s="13" t="s">
        <v>19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</row>
    <row r="49" spans="2:11" x14ac:dyDescent="0.3">
      <c r="B49" s="13" t="s">
        <v>18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</row>
    <row r="50" spans="2:11" x14ac:dyDescent="0.3">
      <c r="B50" s="13" t="s">
        <v>17</v>
      </c>
      <c r="C50" s="10">
        <v>0</v>
      </c>
      <c r="D50" s="10">
        <v>0</v>
      </c>
      <c r="E50" s="10">
        <v>0</v>
      </c>
      <c r="F50" s="10">
        <v>0</v>
      </c>
      <c r="G50" s="10">
        <v>0</v>
      </c>
      <c r="H50" s="10">
        <v>0</v>
      </c>
      <c r="I50" s="10">
        <v>0</v>
      </c>
      <c r="J50" s="10">
        <v>0</v>
      </c>
      <c r="K50" s="10">
        <v>0</v>
      </c>
    </row>
    <row r="51" spans="2:11" x14ac:dyDescent="0.3">
      <c r="B51" s="13" t="s">
        <v>16</v>
      </c>
      <c r="C51" s="10">
        <v>0</v>
      </c>
      <c r="D51" s="10">
        <v>0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0">
        <v>0</v>
      </c>
      <c r="K51" s="10">
        <v>0</v>
      </c>
    </row>
    <row r="52" spans="2:11" x14ac:dyDescent="0.3">
      <c r="B52" s="13" t="s">
        <v>53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</row>
    <row r="53" spans="2:11" x14ac:dyDescent="0.3">
      <c r="B53" s="13" t="s">
        <v>15</v>
      </c>
      <c r="C53" s="10">
        <v>0</v>
      </c>
      <c r="D53" s="10">
        <v>0</v>
      </c>
      <c r="E53" s="10">
        <v>1</v>
      </c>
      <c r="F53" s="10">
        <v>1</v>
      </c>
      <c r="G53" s="10">
        <v>0</v>
      </c>
      <c r="H53" s="10">
        <v>1</v>
      </c>
      <c r="I53" s="10">
        <v>0</v>
      </c>
      <c r="J53" s="10">
        <v>0</v>
      </c>
      <c r="K53" s="10">
        <v>0</v>
      </c>
    </row>
    <row r="54" spans="2:11" x14ac:dyDescent="0.3">
      <c r="B54" s="13" t="s">
        <v>14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</row>
    <row r="55" spans="2:11" x14ac:dyDescent="0.3">
      <c r="B55" s="13" t="s">
        <v>13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</row>
    <row r="56" spans="2:11" x14ac:dyDescent="0.3">
      <c r="B56" s="13" t="s">
        <v>12</v>
      </c>
      <c r="C56" s="10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</row>
    <row r="57" spans="2:11" x14ac:dyDescent="0.3">
      <c r="B57" s="13" t="s">
        <v>11</v>
      </c>
      <c r="C57" s="10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</row>
    <row r="58" spans="2:11" x14ac:dyDescent="0.3">
      <c r="B58" s="13" t="s">
        <v>10</v>
      </c>
      <c r="C58" s="10">
        <v>0</v>
      </c>
      <c r="D58" s="10">
        <v>0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</row>
    <row r="59" spans="2:11" x14ac:dyDescent="0.3">
      <c r="B59" s="13" t="s">
        <v>54</v>
      </c>
      <c r="C59" s="11">
        <v>0</v>
      </c>
      <c r="D59" s="11">
        <v>0</v>
      </c>
      <c r="E59" s="11">
        <v>0</v>
      </c>
      <c r="F59" s="11">
        <v>0</v>
      </c>
      <c r="G59" s="11">
        <v>0</v>
      </c>
      <c r="H59" s="11">
        <v>0</v>
      </c>
      <c r="I59" s="11">
        <v>0</v>
      </c>
      <c r="J59" s="11">
        <v>0</v>
      </c>
      <c r="K59" s="11">
        <v>0</v>
      </c>
    </row>
    <row r="60" spans="2:11" x14ac:dyDescent="0.3">
      <c r="B60" s="13" t="s">
        <v>6</v>
      </c>
      <c r="C60" s="10">
        <v>0</v>
      </c>
      <c r="D60" s="10">
        <v>0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10">
        <v>0</v>
      </c>
      <c r="K60" s="10">
        <v>0</v>
      </c>
    </row>
    <row r="61" spans="2:11" x14ac:dyDescent="0.3">
      <c r="B61" s="13" t="s">
        <v>5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</row>
    <row r="62" spans="2:11" x14ac:dyDescent="0.3">
      <c r="B62" s="13" t="s">
        <v>4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</row>
    <row r="63" spans="2:11" x14ac:dyDescent="0.3">
      <c r="B63" s="13" t="s">
        <v>3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</row>
    <row r="64" spans="2:11" x14ac:dyDescent="0.3">
      <c r="B64" s="13" t="s">
        <v>2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</row>
    <row r="65" spans="2:11" x14ac:dyDescent="0.3">
      <c r="B65" s="14" t="s">
        <v>9</v>
      </c>
      <c r="C65" s="11">
        <v>0</v>
      </c>
      <c r="D65" s="11">
        <v>0</v>
      </c>
      <c r="E65" s="11">
        <v>0</v>
      </c>
      <c r="F65" s="11">
        <v>0</v>
      </c>
      <c r="G65" s="11">
        <v>0</v>
      </c>
      <c r="H65" s="11">
        <v>0</v>
      </c>
      <c r="I65" s="11">
        <v>0</v>
      </c>
      <c r="J65" s="11">
        <v>0</v>
      </c>
      <c r="K65" s="11">
        <v>0</v>
      </c>
    </row>
    <row r="66" spans="2:11" x14ac:dyDescent="0.3">
      <c r="B66" s="14" t="s">
        <v>55</v>
      </c>
      <c r="C66" s="11">
        <v>0</v>
      </c>
      <c r="D66" s="11">
        <v>0</v>
      </c>
      <c r="E66" s="11">
        <v>0</v>
      </c>
      <c r="F66" s="11">
        <v>0</v>
      </c>
      <c r="G66" s="11">
        <v>0</v>
      </c>
      <c r="H66" s="11">
        <v>0</v>
      </c>
      <c r="I66" s="11">
        <v>0</v>
      </c>
      <c r="J66" s="11">
        <v>0</v>
      </c>
      <c r="K66" s="11">
        <v>0</v>
      </c>
    </row>
    <row r="69" spans="2:11" ht="12.6" customHeight="1" x14ac:dyDescent="0.3">
      <c r="F69" s="32" t="s">
        <v>48</v>
      </c>
      <c r="G69" s="32"/>
    </row>
    <row r="70" spans="2:11" ht="21" x14ac:dyDescent="0.3">
      <c r="G70" s="17"/>
    </row>
    <row r="71" spans="2:11" x14ac:dyDescent="0.3">
      <c r="B71" s="6" t="s">
        <v>57</v>
      </c>
      <c r="C71" s="24" t="s">
        <v>59</v>
      </c>
      <c r="D71" s="6" t="s">
        <v>7</v>
      </c>
      <c r="E71" s="6" t="s">
        <v>60</v>
      </c>
      <c r="F71" s="6" t="s">
        <v>61</v>
      </c>
      <c r="G71" s="6" t="s">
        <v>62</v>
      </c>
      <c r="H71" s="6" t="s">
        <v>63</v>
      </c>
      <c r="I71" s="6" t="s">
        <v>64</v>
      </c>
      <c r="J71" s="6" t="s">
        <v>8</v>
      </c>
      <c r="K71" s="1" t="s">
        <v>65</v>
      </c>
    </row>
    <row r="72" spans="2:11" x14ac:dyDescent="0.3">
      <c r="B72" s="22" t="s">
        <v>66</v>
      </c>
      <c r="C72" s="15">
        <v>6</v>
      </c>
      <c r="D72" s="11">
        <v>5</v>
      </c>
      <c r="E72" s="11">
        <v>7</v>
      </c>
      <c r="F72" s="11">
        <v>19</v>
      </c>
      <c r="G72" s="11">
        <v>10</v>
      </c>
      <c r="H72" s="11">
        <v>8</v>
      </c>
      <c r="I72" s="11">
        <v>10</v>
      </c>
      <c r="J72" s="11">
        <v>6</v>
      </c>
      <c r="K72" s="12">
        <v>0</v>
      </c>
    </row>
    <row r="73" spans="2:11" x14ac:dyDescent="0.3">
      <c r="B73" s="23" t="s">
        <v>68</v>
      </c>
      <c r="C73" s="15">
        <v>112</v>
      </c>
      <c r="D73" s="11">
        <v>88</v>
      </c>
      <c r="E73" s="11">
        <v>142</v>
      </c>
      <c r="F73" s="11">
        <v>356</v>
      </c>
      <c r="G73" s="11">
        <v>180</v>
      </c>
      <c r="H73" s="11">
        <v>184</v>
      </c>
      <c r="I73" s="11">
        <v>232</v>
      </c>
      <c r="J73" s="11">
        <v>96</v>
      </c>
      <c r="K73" s="12">
        <v>0</v>
      </c>
    </row>
    <row r="74" spans="2:11" x14ac:dyDescent="0.3">
      <c r="B74" s="23" t="s">
        <v>67</v>
      </c>
      <c r="C74" s="15">
        <v>109</v>
      </c>
      <c r="D74" s="11">
        <v>106</v>
      </c>
      <c r="E74" s="11">
        <v>161</v>
      </c>
      <c r="F74" s="11">
        <v>260</v>
      </c>
      <c r="G74" s="11">
        <v>166</v>
      </c>
      <c r="H74" s="11">
        <v>160</v>
      </c>
      <c r="I74" s="11">
        <v>190</v>
      </c>
      <c r="J74" s="11">
        <v>142</v>
      </c>
      <c r="K74" s="12">
        <v>0</v>
      </c>
    </row>
    <row r="75" spans="2:11" x14ac:dyDescent="0.3">
      <c r="B75" s="23" t="s">
        <v>75</v>
      </c>
      <c r="C75" s="28">
        <v>56</v>
      </c>
      <c r="D75" s="10">
        <v>28</v>
      </c>
      <c r="E75" s="10">
        <v>128</v>
      </c>
      <c r="F75" s="10">
        <v>316</v>
      </c>
      <c r="G75" s="10">
        <v>112</v>
      </c>
      <c r="H75" s="10">
        <v>206</v>
      </c>
      <c r="I75" s="10">
        <v>168</v>
      </c>
      <c r="J75" s="10">
        <v>0</v>
      </c>
      <c r="K75" s="29">
        <v>0</v>
      </c>
    </row>
    <row r="76" spans="2:11" x14ac:dyDescent="0.3">
      <c r="B76" s="20"/>
      <c r="C76" s="20"/>
      <c r="D76" s="20"/>
      <c r="E76" s="20"/>
      <c r="F76" s="20"/>
      <c r="G76" s="20"/>
      <c r="H76" s="20"/>
      <c r="I76" s="20"/>
      <c r="J76" s="20"/>
    </row>
    <row r="77" spans="2:11" x14ac:dyDescent="0.3">
      <c r="B77" s="3"/>
      <c r="C77" s="3"/>
      <c r="D77" s="3"/>
      <c r="E77" s="3"/>
      <c r="F77" s="3"/>
      <c r="G77" s="3"/>
      <c r="H77" s="3"/>
      <c r="I77" s="3"/>
      <c r="J77" s="3"/>
    </row>
    <row r="78" spans="2:11" x14ac:dyDescent="0.3">
      <c r="B78" s="2" t="s">
        <v>69</v>
      </c>
      <c r="C78" s="6" t="s">
        <v>70</v>
      </c>
      <c r="D78" s="6" t="s">
        <v>71</v>
      </c>
      <c r="E78" s="6" t="s">
        <v>72</v>
      </c>
      <c r="F78" s="6" t="s">
        <v>73</v>
      </c>
      <c r="G78" s="1" t="s">
        <v>74</v>
      </c>
      <c r="H78" s="3"/>
      <c r="I78" s="3"/>
      <c r="J78" s="3"/>
    </row>
    <row r="79" spans="2:11" x14ac:dyDescent="0.3">
      <c r="B79" s="15">
        <v>32</v>
      </c>
      <c r="C79" s="11">
        <v>606</v>
      </c>
      <c r="D79" s="11">
        <v>875</v>
      </c>
      <c r="E79" s="11">
        <v>672</v>
      </c>
      <c r="F79" s="11">
        <v>1289</v>
      </c>
      <c r="G79" s="12">
        <v>874400</v>
      </c>
      <c r="H79" s="20"/>
      <c r="I79" s="20"/>
      <c r="J79" s="20"/>
    </row>
    <row r="80" spans="2:11" x14ac:dyDescent="0.3">
      <c r="B80" s="33"/>
      <c r="C80" s="33"/>
      <c r="D80" s="33"/>
      <c r="E80" s="33"/>
      <c r="F80" s="33"/>
      <c r="G80" s="33"/>
    </row>
    <row r="102" spans="2:2" x14ac:dyDescent="0.3">
      <c r="B102" s="25"/>
    </row>
    <row r="103" spans="2:2" x14ac:dyDescent="0.3">
      <c r="B103" s="25"/>
    </row>
    <row r="104" spans="2:2" x14ac:dyDescent="0.3">
      <c r="B104" s="25"/>
    </row>
  </sheetData>
  <mergeCells count="4">
    <mergeCell ref="F2:G2"/>
    <mergeCell ref="F15:G15"/>
    <mergeCell ref="F69:G69"/>
    <mergeCell ref="B80:G80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Reset">
          <controlPr defaultSize="0" autoLine="0" r:id="rId5">
            <anchor moveWithCells="1">
              <from>
                <xdr:col>12</xdr:col>
                <xdr:colOff>266700</xdr:colOff>
                <xdr:row>3</xdr:row>
                <xdr:rowOff>0</xdr:rowOff>
              </from>
              <to>
                <xdr:col>13</xdr:col>
                <xdr:colOff>274320</xdr:colOff>
                <xdr:row>5</xdr:row>
                <xdr:rowOff>0</xdr:rowOff>
              </to>
            </anchor>
          </controlPr>
        </control>
      </mc:Choice>
      <mc:Fallback>
        <control shapeId="1025" r:id="rId4" name="CommandButtonReset"/>
      </mc:Fallback>
    </mc:AlternateContent>
    <mc:AlternateContent xmlns:mc="http://schemas.openxmlformats.org/markup-compatibility/2006">
      <mc:Choice Requires="x14">
        <control shapeId="1026" r:id="rId6" name="CommandButtonReload">
          <controlPr defaultSize="0" autoLine="0" r:id="rId7">
            <anchor moveWithCells="1">
              <from>
                <xdr:col>11</xdr:col>
                <xdr:colOff>68580</xdr:colOff>
                <xdr:row>3</xdr:row>
                <xdr:rowOff>0</xdr:rowOff>
              </from>
              <to>
                <xdr:col>12</xdr:col>
                <xdr:colOff>167640</xdr:colOff>
                <xdr:row>5</xdr:row>
                <xdr:rowOff>0</xdr:rowOff>
              </to>
            </anchor>
          </controlPr>
        </control>
      </mc:Choice>
      <mc:Fallback>
        <control shapeId="1026" r:id="rId6" name="CommandButtonReload"/>
      </mc:Fallback>
    </mc:AlternateContent>
  </controls>
  <tableParts count="6"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3E4720-3221-4E78-BB90-97C1C7E25C0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Ressources Manquantes</vt:lpstr>
      <vt:lpstr>Données Modifiables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</dc:creator>
  <cp:lastModifiedBy>Florent Tornicelli</cp:lastModifiedBy>
  <dcterms:created xsi:type="dcterms:W3CDTF">2021-11-25T11:39:07Z</dcterms:created>
  <dcterms:modified xsi:type="dcterms:W3CDTF">2022-02-17T23:00:07Z</dcterms:modified>
</cp:coreProperties>
</file>